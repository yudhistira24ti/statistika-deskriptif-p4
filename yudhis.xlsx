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itro\Downloads\"/>
    </mc:Choice>
  </mc:AlternateContent>
  <xr:revisionPtr revIDLastSave="0" documentId="13_ncr:1_{C60BF29F-A3C6-4B04-AACB-A32D94C9A8A0}" xr6:coauthVersionLast="47" xr6:coauthVersionMax="47" xr10:uidLastSave="{00000000-0000-0000-0000-000000000000}"/>
  <bookViews>
    <workbookView xWindow="-108" yWindow="-108" windowWidth="23256" windowHeight="12456" xr2:uid="{F53FAF3E-5B64-42D0-B576-A0DE603505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1" l="1"/>
  <c r="H2" i="1" l="1"/>
  <c r="G3" i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D44" i="1" l="1"/>
  <c r="G41" i="1"/>
  <c r="G43" i="1"/>
  <c r="G42" i="1"/>
  <c r="G37" i="1"/>
  <c r="G36" i="1"/>
  <c r="G45" i="1"/>
  <c r="G46" i="1"/>
  <c r="G44" i="1"/>
  <c r="H3" i="1"/>
  <c r="C38" i="1" s="1"/>
  <c r="G38" i="1"/>
  <c r="G40" i="1"/>
  <c r="G39" i="1"/>
  <c r="C40" i="1" l="1"/>
  <c r="C41" i="1"/>
  <c r="D38" i="1"/>
  <c r="C39" i="1"/>
  <c r="D39" i="1"/>
  <c r="D40" i="1"/>
  <c r="D41" i="1"/>
  <c r="C42" i="1"/>
  <c r="D42" i="1"/>
  <c r="C43" i="1"/>
  <c r="D43" i="1"/>
  <c r="C44" i="1" l="1"/>
</calcChain>
</file>

<file path=xl/sharedStrings.xml><?xml version="1.0" encoding="utf-8"?>
<sst xmlns="http://schemas.openxmlformats.org/spreadsheetml/2006/main" count="60" uniqueCount="58">
  <si>
    <t>ID</t>
  </si>
  <si>
    <t>Name</t>
  </si>
  <si>
    <t>Marks in Quiz
 (Out of 100)</t>
  </si>
  <si>
    <t>Mid Term Results (Out of 100)</t>
  </si>
  <si>
    <t>Final Term Resul  (Out of 100)</t>
  </si>
  <si>
    <t>Final Score</t>
  </si>
  <si>
    <t>Grade</t>
  </si>
  <si>
    <t>John Doe</t>
  </si>
  <si>
    <t>Jane Smith</t>
  </si>
  <si>
    <t>Michael Johnson</t>
  </si>
  <si>
    <t>Emily Brown</t>
  </si>
  <si>
    <t>Daniel Martinez</t>
  </si>
  <si>
    <t>Sarah Wilson</t>
  </si>
  <si>
    <t>David Garcia</t>
  </si>
  <si>
    <t>Jessica Lee</t>
  </si>
  <si>
    <t>Matthew Davis</t>
  </si>
  <si>
    <t>Jennifer Rodriguez</t>
  </si>
  <si>
    <t>Andrew Taylor</t>
  </si>
  <si>
    <t>Amanda Hernandez</t>
  </si>
  <si>
    <t>Christopher Clark</t>
  </si>
  <si>
    <t>Elizabeth Martinez</t>
  </si>
  <si>
    <t>William Anderson</t>
  </si>
  <si>
    <t>Sophia Thomas</t>
  </si>
  <si>
    <t>James White</t>
  </si>
  <si>
    <t>Olivia Taylor</t>
  </si>
  <si>
    <t>Benjamin Wilson</t>
  </si>
  <si>
    <t>Emma Garcia</t>
  </si>
  <si>
    <t>Alexander Davis</t>
  </si>
  <si>
    <t>Mia Moore</t>
  </si>
  <si>
    <t>Ethan Jackson</t>
  </si>
  <si>
    <t>Isabella Brown</t>
  </si>
  <si>
    <t>Noah Taylor</t>
  </si>
  <si>
    <t>Abigail Johnson</t>
  </si>
  <si>
    <t>Logan Martinez</t>
  </si>
  <si>
    <t>Avery Clark</t>
  </si>
  <si>
    <t>Jacob Thompson</t>
  </si>
  <si>
    <t>Samantha Harris</t>
  </si>
  <si>
    <t>A</t>
  </si>
  <si>
    <t>AB</t>
  </si>
  <si>
    <t>B</t>
  </si>
  <si>
    <t>BC</t>
  </si>
  <si>
    <t>C</t>
  </si>
  <si>
    <t>D</t>
  </si>
  <si>
    <t>Total</t>
  </si>
  <si>
    <t>Statistic</t>
  </si>
  <si>
    <t>Mean</t>
  </si>
  <si>
    <t>Standard Error</t>
  </si>
  <si>
    <t>Median</t>
  </si>
  <si>
    <t>Mode</t>
  </si>
  <si>
    <t>Standard Deviation</t>
  </si>
  <si>
    <t>Sample Variance</t>
  </si>
  <si>
    <t>Range</t>
  </si>
  <si>
    <t>Minimum</t>
  </si>
  <si>
    <t>Maximum</t>
  </si>
  <si>
    <t>Sum</t>
  </si>
  <si>
    <t>Count</t>
  </si>
  <si>
    <t>Jumlah mahasiswa</t>
  </si>
  <si>
    <t>Rata-rata nilai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</si>
</sst>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b/>
      <sz val="10"/>
      <name val="Calibri"/>
      <family val="2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  <fill>
      <patternFill patternType="solid">
        <fgColor theme="0"/>
        <bgColor rgb="FF4F81BD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FF9F1"/>
      </patternFill>
    </fill>
    <fill>
      <patternFill patternType="solid">
        <fgColor theme="0"/>
        <bgColor rgb="FF003300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" fontId="3" fillId="0" borderId="1" xfId="0" applyNumberFormat="1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left" vertical="center" indent="1"/>
    </xf>
    <xf numFmtId="1" fontId="4" fillId="4" borderId="2" xfId="0" applyNumberFormat="1" applyFont="1" applyFill="1" applyBorder="1" applyAlignment="1">
      <alignment horizontal="center" vertical="center"/>
    </xf>
    <xf numFmtId="1" fontId="4" fillId="5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id-ID"/>
              <a:t>Jumlah Siswa per</a:t>
            </a:r>
            <a:endParaRPr lang="en-ID"/>
          </a:p>
          <a:p>
            <a:pPr>
              <a:defRPr/>
            </a:pPr>
            <a:r>
              <a:rPr lang="en-ID"/>
              <a:t>Grade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>
        <c:manualLayout>
          <c:layoutTarget val="inner"/>
          <c:xMode val="edge"/>
          <c:yMode val="edge"/>
          <c:x val="0.11327428887636397"/>
          <c:y val="0.27639727850427404"/>
          <c:w val="0.86740501028480521"/>
          <c:h val="0.537572721943361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Sheet1!$C$37</c:f>
              <c:strCache>
                <c:ptCount val="1"/>
                <c:pt idx="0">
                  <c:v>Jumlah mahasiswa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Sheet1!$B$38:$B$43</c:f>
              <c:strCache>
                <c:ptCount val="6"/>
                <c:pt idx="0">
                  <c:v>A</c:v>
                </c:pt>
                <c:pt idx="1">
                  <c:v>AB</c:v>
                </c:pt>
                <c:pt idx="2">
                  <c:v>B</c:v>
                </c:pt>
                <c:pt idx="3">
                  <c:v>BC</c:v>
                </c:pt>
                <c:pt idx="4">
                  <c:v>C</c:v>
                </c:pt>
                <c:pt idx="5">
                  <c:v>D</c:v>
                </c:pt>
              </c:strCache>
            </c:strRef>
          </c:cat>
          <c:val>
            <c:numRef>
              <c:f>Sheet1!$C$38:$C$43</c:f>
              <c:numCache>
                <c:formatCode>General</c:formatCode>
                <c:ptCount val="6"/>
                <c:pt idx="0">
                  <c:v>12</c:v>
                </c:pt>
                <c:pt idx="1">
                  <c:v>7</c:v>
                </c:pt>
                <c:pt idx="2">
                  <c:v>4</c:v>
                </c:pt>
                <c:pt idx="3">
                  <c:v>1</c:v>
                </c:pt>
                <c:pt idx="4">
                  <c:v>5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CA-4B23-82E8-EC41652D9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2729645"/>
        <c:axId val="90556680"/>
      </c:barChart>
      <c:catAx>
        <c:axId val="9272964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Grade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56680"/>
        <c:crosses val="autoZero"/>
        <c:auto val="1"/>
        <c:lblAlgn val="ctr"/>
        <c:lblOffset val="100"/>
        <c:noMultiLvlLbl val="0"/>
      </c:catAx>
      <c:valAx>
        <c:axId val="90556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2964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D"/>
              <a:t>Rata-rata per Grade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Sheet1!$C$37</c:f>
              <c:strCache>
                <c:ptCount val="1"/>
                <c:pt idx="0">
                  <c:v>Jumlah mahasiswa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D1A-4EC8-AC6E-66580DB4C75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D1A-4EC8-AC6E-66580DB4C75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D1A-4EC8-AC6E-66580DB4C75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D1A-4EC8-AC6E-66580DB4C75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D1A-4EC8-AC6E-66580DB4C752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D1A-4EC8-AC6E-66580DB4C75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 baseline="0"/>
                      <a:t>Siswa; </a:t>
                    </a:r>
                    <a:fld id="{8682B637-1945-4175-BA5F-95533A1FF910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; </a:t>
                    </a:r>
                    <a:fld id="{D1155CB6-BF56-4C2A-90B6-424F786FB2E0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; </a:t>
                    </a:r>
                    <a:fld id="{D5B30D3E-2C1B-4FA0-BC2C-C51F88938A71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outEnd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3D1A-4EC8-AC6E-66580DB4C75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800" b="0" i="0" u="none" strike="noStrike" kern="1200" baseline="0">
                        <a:solidFill>
                          <a:sysClr val="window" lastClr="FFFFFF">
                            <a:lumMod val="85000"/>
                          </a:sysClr>
                        </a:solidFill>
                      </a:rPr>
                      <a:t>Siswa</a:t>
                    </a:r>
                    <a:r>
                      <a:rPr lang="en-US" baseline="0"/>
                      <a:t>; </a:t>
                    </a:r>
                    <a:fld id="{66B85AA8-83B5-410D-8AF0-EE21FB5E0C5E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; </a:t>
                    </a:r>
                    <a:fld id="{177F76E4-16B4-405E-9986-F1C0EB758AB5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; </a:t>
                    </a:r>
                    <a:fld id="{E623BEA7-BBC4-442A-B32A-339BBF18020B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outEnd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3D1A-4EC8-AC6E-66580DB4C75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sz="800" b="0" i="0" u="none" strike="noStrike" kern="1200" baseline="0">
                        <a:solidFill>
                          <a:sysClr val="window" lastClr="FFFFFF">
                            <a:lumMod val="85000"/>
                          </a:sysClr>
                        </a:solidFill>
                      </a:rPr>
                      <a:t>Siswa</a:t>
                    </a:r>
                    <a:r>
                      <a:rPr lang="en-US" baseline="0"/>
                      <a:t>; </a:t>
                    </a:r>
                    <a:fld id="{8A1BB777-FF34-4EE7-87E1-507527079381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; </a:t>
                    </a:r>
                    <a:fld id="{3F84F0D7-CF84-43F2-9483-C3C9CB5747AE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; </a:t>
                    </a:r>
                    <a:fld id="{2323F07D-6679-48DD-A972-A4FBCA8F3A51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outEnd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3D1A-4EC8-AC6E-66580DB4C75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sz="800" b="0" i="0" u="none" strike="noStrike" kern="1200" baseline="0">
                        <a:solidFill>
                          <a:sysClr val="window" lastClr="FFFFFF">
                            <a:lumMod val="85000"/>
                          </a:sysClr>
                        </a:solidFill>
                      </a:rPr>
                      <a:t>Siswa</a:t>
                    </a:r>
                    <a:r>
                      <a:rPr lang="en-US" baseline="0"/>
                      <a:t>; </a:t>
                    </a:r>
                    <a:fld id="{5CF9AE34-1D25-493A-B821-4D120735FE1E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; </a:t>
                    </a:r>
                    <a:fld id="{EE89B563-3B52-46DF-B73C-AAA4186996CF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; </a:t>
                    </a:r>
                    <a:fld id="{38F1A07E-AC45-4C80-A7F9-B07C3DDD3E2B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outEnd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3D1A-4EC8-AC6E-66580DB4C75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 sz="800" b="0" i="0" u="none" strike="noStrike" kern="1200" baseline="0">
                        <a:solidFill>
                          <a:sysClr val="window" lastClr="FFFFFF">
                            <a:lumMod val="85000"/>
                          </a:sysClr>
                        </a:solidFill>
                      </a:rPr>
                      <a:t>Siswa</a:t>
                    </a:r>
                    <a:r>
                      <a:rPr lang="en-US" baseline="0"/>
                      <a:t>; </a:t>
                    </a:r>
                    <a:fld id="{62DF58E1-EC24-4253-A11A-605971E219A8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; </a:t>
                    </a:r>
                    <a:fld id="{E13D908E-1619-46CE-A3C2-1E437B3531B9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; </a:t>
                    </a:r>
                    <a:fld id="{0F23ABB4-AC1F-43A6-BDF1-7B807D679561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outEnd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3D1A-4EC8-AC6E-66580DB4C75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 sz="800" b="0" i="0" u="none" strike="noStrike" kern="1200" baseline="0">
                        <a:solidFill>
                          <a:sysClr val="window" lastClr="FFFFFF">
                            <a:lumMod val="85000"/>
                          </a:sysClr>
                        </a:solidFill>
                      </a:rPr>
                      <a:t>Siswa</a:t>
                    </a:r>
                    <a:r>
                      <a:rPr lang="en-US" baseline="0"/>
                      <a:t>; </a:t>
                    </a:r>
                    <a:fld id="{B40773AD-010F-44C1-9127-FB2A1EB685BC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; </a:t>
                    </a:r>
                    <a:fld id="{82B9B52A-7291-4163-93B4-430366FFFD3B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; </a:t>
                    </a:r>
                    <a:fld id="{90B7D0D2-D3F3-48F1-84A6-701DD7F252F1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outEnd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3D1A-4EC8-AC6E-66580DB4C7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Sheet1!$B$38:$B$43</c:f>
              <c:strCache>
                <c:ptCount val="6"/>
                <c:pt idx="0">
                  <c:v>A</c:v>
                </c:pt>
                <c:pt idx="1">
                  <c:v>AB</c:v>
                </c:pt>
                <c:pt idx="2">
                  <c:v>B</c:v>
                </c:pt>
                <c:pt idx="3">
                  <c:v>BC</c:v>
                </c:pt>
                <c:pt idx="4">
                  <c:v>C</c:v>
                </c:pt>
                <c:pt idx="5">
                  <c:v>D</c:v>
                </c:pt>
              </c:strCache>
            </c:strRef>
          </c:cat>
          <c:val>
            <c:numRef>
              <c:f>Sheet1!$C$38:$C$43</c:f>
              <c:numCache>
                <c:formatCode>General</c:formatCode>
                <c:ptCount val="6"/>
                <c:pt idx="0">
                  <c:v>12</c:v>
                </c:pt>
                <c:pt idx="1">
                  <c:v>7</c:v>
                </c:pt>
                <c:pt idx="2">
                  <c:v>4</c:v>
                </c:pt>
                <c:pt idx="3">
                  <c:v>1</c:v>
                </c:pt>
                <c:pt idx="4">
                  <c:v>5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D1A-4EC8-AC6E-66580DB4C75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D"/>
              <a:t>Quiz vs Final Score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Sheet1!$D$2:$D$31</c:f>
              <c:numCache>
                <c:formatCode>General</c:formatCode>
                <c:ptCount val="30"/>
                <c:pt idx="0">
                  <c:v>85</c:v>
                </c:pt>
                <c:pt idx="1">
                  <c:v>92</c:v>
                </c:pt>
                <c:pt idx="2">
                  <c:v>48</c:v>
                </c:pt>
                <c:pt idx="3">
                  <c:v>90</c:v>
                </c:pt>
                <c:pt idx="4">
                  <c:v>75</c:v>
                </c:pt>
                <c:pt idx="5">
                  <c:v>88</c:v>
                </c:pt>
                <c:pt idx="6">
                  <c:v>75</c:v>
                </c:pt>
                <c:pt idx="7">
                  <c:v>95</c:v>
                </c:pt>
                <c:pt idx="8">
                  <c:v>79</c:v>
                </c:pt>
                <c:pt idx="9">
                  <c:v>42</c:v>
                </c:pt>
                <c:pt idx="10">
                  <c:v>53</c:v>
                </c:pt>
                <c:pt idx="11">
                  <c:v>91</c:v>
                </c:pt>
                <c:pt idx="12">
                  <c:v>76</c:v>
                </c:pt>
                <c:pt idx="13">
                  <c:v>89</c:v>
                </c:pt>
                <c:pt idx="14">
                  <c:v>80</c:v>
                </c:pt>
                <c:pt idx="15">
                  <c:v>94</c:v>
                </c:pt>
                <c:pt idx="16">
                  <c:v>77</c:v>
                </c:pt>
                <c:pt idx="17">
                  <c:v>86</c:v>
                </c:pt>
                <c:pt idx="18">
                  <c:v>92</c:v>
                </c:pt>
                <c:pt idx="19">
                  <c:v>78</c:v>
                </c:pt>
                <c:pt idx="20">
                  <c:v>41</c:v>
                </c:pt>
                <c:pt idx="21">
                  <c:v>68</c:v>
                </c:pt>
                <c:pt idx="22">
                  <c:v>81</c:v>
                </c:pt>
                <c:pt idx="23">
                  <c:v>87</c:v>
                </c:pt>
                <c:pt idx="24">
                  <c:v>79</c:v>
                </c:pt>
                <c:pt idx="25">
                  <c:v>70</c:v>
                </c:pt>
                <c:pt idx="26">
                  <c:v>67</c:v>
                </c:pt>
                <c:pt idx="27">
                  <c:v>69</c:v>
                </c:pt>
                <c:pt idx="28">
                  <c:v>76</c:v>
                </c:pt>
                <c:pt idx="29">
                  <c:v>60</c:v>
                </c:pt>
              </c:numCache>
            </c:numRef>
          </c:xVal>
          <c:yVal>
            <c:numRef>
              <c:f>Sheet1!$G$2:$G$31</c:f>
              <c:numCache>
                <c:formatCode>0</c:formatCode>
                <c:ptCount val="30"/>
                <c:pt idx="0">
                  <c:v>84.44</c:v>
                </c:pt>
                <c:pt idx="1">
                  <c:v>91.38</c:v>
                </c:pt>
                <c:pt idx="2">
                  <c:v>56.41</c:v>
                </c:pt>
                <c:pt idx="3">
                  <c:v>87.65</c:v>
                </c:pt>
                <c:pt idx="4">
                  <c:v>77.350000000000009</c:v>
                </c:pt>
                <c:pt idx="5">
                  <c:v>74.010000000000005</c:v>
                </c:pt>
                <c:pt idx="6">
                  <c:v>73.349999999999994</c:v>
                </c:pt>
                <c:pt idx="7">
                  <c:v>94.03</c:v>
                </c:pt>
                <c:pt idx="8">
                  <c:v>80.3</c:v>
                </c:pt>
                <c:pt idx="9">
                  <c:v>51.33</c:v>
                </c:pt>
                <c:pt idx="10">
                  <c:v>58.73</c:v>
                </c:pt>
                <c:pt idx="11">
                  <c:v>91.97</c:v>
                </c:pt>
                <c:pt idx="12">
                  <c:v>77.3</c:v>
                </c:pt>
                <c:pt idx="13">
                  <c:v>89.97</c:v>
                </c:pt>
                <c:pt idx="14">
                  <c:v>81.300000000000011</c:v>
                </c:pt>
                <c:pt idx="15">
                  <c:v>93.03</c:v>
                </c:pt>
                <c:pt idx="16">
                  <c:v>78.3</c:v>
                </c:pt>
                <c:pt idx="17">
                  <c:v>86.289999999999992</c:v>
                </c:pt>
                <c:pt idx="18">
                  <c:v>91.03</c:v>
                </c:pt>
                <c:pt idx="19">
                  <c:v>79.3</c:v>
                </c:pt>
                <c:pt idx="20">
                  <c:v>46.010000000000005</c:v>
                </c:pt>
                <c:pt idx="21">
                  <c:v>56.830000000000005</c:v>
                </c:pt>
                <c:pt idx="22">
                  <c:v>82.63</c:v>
                </c:pt>
                <c:pt idx="23">
                  <c:v>87.29</c:v>
                </c:pt>
                <c:pt idx="24">
                  <c:v>80.3</c:v>
                </c:pt>
                <c:pt idx="25">
                  <c:v>70.210000000000008</c:v>
                </c:pt>
                <c:pt idx="26">
                  <c:v>58.160000000000004</c:v>
                </c:pt>
                <c:pt idx="27">
                  <c:v>67.39</c:v>
                </c:pt>
                <c:pt idx="28">
                  <c:v>77.3</c:v>
                </c:pt>
                <c:pt idx="29">
                  <c:v>63.05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C7-4E43-83C6-16FB6107B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018053"/>
        <c:axId val="53379316"/>
      </c:scatterChart>
      <c:valAx>
        <c:axId val="6101805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Marks in Quiz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79316"/>
        <c:crosses val="autoZero"/>
        <c:crossBetween val="midCat"/>
      </c:valAx>
      <c:valAx>
        <c:axId val="533793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Final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1805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228600</xdr:colOff>
      <xdr:row>6</xdr:row>
      <xdr:rowOff>54430</xdr:rowOff>
    </xdr:from>
    <xdr:to>
      <xdr:col>19</xdr:col>
      <xdr:colOff>21780</xdr:colOff>
      <xdr:row>21</xdr:row>
      <xdr:rowOff>44092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CC6E86-D418-42A5-8C6B-37C89AECE6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206828</xdr:colOff>
      <xdr:row>21</xdr:row>
      <xdr:rowOff>65313</xdr:rowOff>
    </xdr:from>
    <xdr:to>
      <xdr:col>18</xdr:col>
      <xdr:colOff>608408</xdr:colOff>
      <xdr:row>36</xdr:row>
      <xdr:rowOff>54976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0607B2-3E13-41C7-80DF-2AA515D93F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293914</xdr:colOff>
      <xdr:row>37</xdr:row>
      <xdr:rowOff>152400</xdr:rowOff>
    </xdr:from>
    <xdr:to>
      <xdr:col>19</xdr:col>
      <xdr:colOff>69994</xdr:colOff>
      <xdr:row>52</xdr:row>
      <xdr:rowOff>142063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480BF47-67E0-4A2C-9456-EB149EE270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9F195-3BC1-4E94-854F-B40CECF84EB4}">
  <dimension ref="A1:I57"/>
  <sheetViews>
    <sheetView tabSelected="1" zoomScale="70" zoomScaleNormal="70" workbookViewId="0">
      <selection activeCell="I23" sqref="I23"/>
    </sheetView>
  </sheetViews>
  <sheetFormatPr defaultRowHeight="14.4" x14ac:dyDescent="0.3"/>
  <cols>
    <col min="1" max="1" width="3.5546875" style="1" customWidth="1"/>
    <col min="2" max="2" width="16.6640625" style="1" customWidth="1"/>
    <col min="3" max="3" width="18.5546875" style="1" bestFit="1" customWidth="1"/>
    <col min="4" max="4" width="17.6640625" style="1" customWidth="1"/>
    <col min="5" max="5" width="18.33203125" style="1" customWidth="1"/>
    <col min="6" max="7" width="21.88671875" style="1" customWidth="1"/>
    <col min="8" max="8" width="15.44140625" style="1" customWidth="1"/>
    <col min="9" max="9" width="21.88671875" style="1" customWidth="1"/>
  </cols>
  <sheetData>
    <row r="1" spans="2:9" ht="31.2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/>
    </row>
    <row r="2" spans="2:9" x14ac:dyDescent="0.3">
      <c r="B2" s="3">
        <v>120001</v>
      </c>
      <c r="C2" s="4" t="s">
        <v>7</v>
      </c>
      <c r="D2" s="3">
        <v>85</v>
      </c>
      <c r="E2" s="3">
        <v>78</v>
      </c>
      <c r="F2" s="3">
        <v>90</v>
      </c>
      <c r="G2" s="5">
        <f>(D2*32%)+(E2*33%)+(F2*35%)</f>
        <v>84.44</v>
      </c>
      <c r="H2" s="3" t="str">
        <f>IF(G2&gt;=81,"A",IF(G2&gt;=76,"AB",IF(G2&gt;=66,"B",IF(G2&gt;=61,"BC",IF(G2&gt;=51,"C",IF(G2&gt;=41,"D","E"))))))</f>
        <v>A</v>
      </c>
      <c r="I2" s="5"/>
    </row>
    <row r="3" spans="2:9" x14ac:dyDescent="0.3">
      <c r="B3" s="3">
        <v>120005</v>
      </c>
      <c r="C3" s="4" t="s">
        <v>8</v>
      </c>
      <c r="D3" s="3">
        <v>92</v>
      </c>
      <c r="E3" s="3">
        <v>88</v>
      </c>
      <c r="F3" s="3">
        <v>94</v>
      </c>
      <c r="G3" s="5">
        <f t="shared" ref="G3:G31" si="0">(D3*32%)+(E3*33%)+(F3*35%)</f>
        <v>91.38</v>
      </c>
      <c r="H3" s="3" t="str">
        <f>IF(G3&gt;=81,"A",IF(G3&gt;=76,"AB",IF(G3&gt;=66,"B",IF(G3&gt;=61,"BC",IF(G3&gt;=51,"C",IF(G3&gt;=41,"D","E"))))))</f>
        <v>A</v>
      </c>
      <c r="I3" s="5"/>
    </row>
    <row r="4" spans="2:9" x14ac:dyDescent="0.3">
      <c r="B4" s="3">
        <v>120017</v>
      </c>
      <c r="C4" s="4" t="s">
        <v>9</v>
      </c>
      <c r="D4" s="3">
        <v>48</v>
      </c>
      <c r="E4" s="3">
        <v>65</v>
      </c>
      <c r="F4" s="3">
        <v>56</v>
      </c>
      <c r="G4" s="5">
        <f t="shared" si="0"/>
        <v>56.41</v>
      </c>
      <c r="H4" s="3" t="str">
        <f t="shared" ref="H4:H31" si="1">IF(G4&gt;=81,"A",IF(G4&gt;=76,"AB",IF(G4&gt;=66,"B",IF(G4&gt;=61,"BC",IF(G4&gt;=51,"C",IF(G4&gt;=41,"D","E"))))))</f>
        <v>C</v>
      </c>
      <c r="I4" s="5"/>
    </row>
    <row r="5" spans="2:9" x14ac:dyDescent="0.3">
      <c r="B5" s="3">
        <v>120018</v>
      </c>
      <c r="C5" s="4" t="s">
        <v>10</v>
      </c>
      <c r="D5" s="3">
        <v>90</v>
      </c>
      <c r="E5" s="3">
        <v>85</v>
      </c>
      <c r="F5" s="3">
        <v>88</v>
      </c>
      <c r="G5" s="5">
        <f t="shared" si="0"/>
        <v>87.65</v>
      </c>
      <c r="H5" s="3" t="str">
        <f t="shared" si="1"/>
        <v>A</v>
      </c>
      <c r="I5" s="5"/>
    </row>
    <row r="6" spans="2:9" x14ac:dyDescent="0.3">
      <c r="B6" s="3">
        <v>120022</v>
      </c>
      <c r="C6" s="4" t="s">
        <v>11</v>
      </c>
      <c r="D6" s="3">
        <v>75</v>
      </c>
      <c r="E6" s="3">
        <v>80</v>
      </c>
      <c r="F6" s="3">
        <v>77</v>
      </c>
      <c r="G6" s="5">
        <f t="shared" si="0"/>
        <v>77.350000000000009</v>
      </c>
      <c r="H6" s="3" t="str">
        <f t="shared" si="1"/>
        <v>AB</v>
      </c>
      <c r="I6" s="5"/>
    </row>
    <row r="7" spans="2:9" x14ac:dyDescent="0.3">
      <c r="B7" s="3">
        <v>120024</v>
      </c>
      <c r="C7" s="4" t="s">
        <v>12</v>
      </c>
      <c r="D7" s="3">
        <v>88</v>
      </c>
      <c r="E7" s="3">
        <v>70</v>
      </c>
      <c r="F7" s="3">
        <v>65</v>
      </c>
      <c r="G7" s="5">
        <f t="shared" si="0"/>
        <v>74.010000000000005</v>
      </c>
      <c r="H7" s="3" t="str">
        <f t="shared" si="1"/>
        <v>B</v>
      </c>
      <c r="I7" s="5"/>
    </row>
    <row r="8" spans="2:9" x14ac:dyDescent="0.3">
      <c r="B8" s="3">
        <v>120025</v>
      </c>
      <c r="C8" s="4" t="s">
        <v>13</v>
      </c>
      <c r="D8" s="3">
        <v>75</v>
      </c>
      <c r="E8" s="3">
        <v>70</v>
      </c>
      <c r="F8" s="3">
        <v>75</v>
      </c>
      <c r="G8" s="5">
        <f t="shared" si="0"/>
        <v>73.349999999999994</v>
      </c>
      <c r="H8" s="3" t="str">
        <f t="shared" si="1"/>
        <v>B</v>
      </c>
      <c r="I8" s="5"/>
    </row>
    <row r="9" spans="2:9" x14ac:dyDescent="0.3">
      <c r="B9" s="3">
        <v>120027</v>
      </c>
      <c r="C9" s="4" t="s">
        <v>14</v>
      </c>
      <c r="D9" s="3">
        <v>95</v>
      </c>
      <c r="E9" s="3">
        <v>91</v>
      </c>
      <c r="F9" s="3">
        <v>96</v>
      </c>
      <c r="G9" s="5">
        <f t="shared" si="0"/>
        <v>94.03</v>
      </c>
      <c r="H9" s="3" t="str">
        <f t="shared" si="1"/>
        <v>A</v>
      </c>
      <c r="I9" s="5"/>
    </row>
    <row r="10" spans="2:9" x14ac:dyDescent="0.3">
      <c r="B10" s="3">
        <v>120034</v>
      </c>
      <c r="C10" s="4" t="s">
        <v>15</v>
      </c>
      <c r="D10" s="3">
        <v>79</v>
      </c>
      <c r="E10" s="3">
        <v>84</v>
      </c>
      <c r="F10" s="3">
        <v>78</v>
      </c>
      <c r="G10" s="5">
        <f t="shared" si="0"/>
        <v>80.3</v>
      </c>
      <c r="H10" s="3" t="str">
        <f t="shared" si="1"/>
        <v>AB</v>
      </c>
      <c r="I10" s="5"/>
    </row>
    <row r="11" spans="2:9" x14ac:dyDescent="0.3">
      <c r="B11" s="3">
        <v>120035</v>
      </c>
      <c r="C11" s="4" t="s">
        <v>16</v>
      </c>
      <c r="D11" s="3">
        <v>42</v>
      </c>
      <c r="E11" s="3">
        <v>48</v>
      </c>
      <c r="F11" s="3">
        <v>63</v>
      </c>
      <c r="G11" s="5">
        <f t="shared" si="0"/>
        <v>51.33</v>
      </c>
      <c r="H11" s="3" t="str">
        <f t="shared" si="1"/>
        <v>C</v>
      </c>
      <c r="I11" s="5"/>
    </row>
    <row r="12" spans="2:9" x14ac:dyDescent="0.3">
      <c r="B12" s="3">
        <v>120036</v>
      </c>
      <c r="C12" s="4" t="s">
        <v>17</v>
      </c>
      <c r="D12" s="3">
        <v>53</v>
      </c>
      <c r="E12" s="3">
        <v>64</v>
      </c>
      <c r="F12" s="3">
        <v>59</v>
      </c>
      <c r="G12" s="5">
        <f t="shared" si="0"/>
        <v>58.73</v>
      </c>
      <c r="H12" s="3" t="str">
        <f t="shared" si="1"/>
        <v>C</v>
      </c>
      <c r="I12" s="5"/>
    </row>
    <row r="13" spans="2:9" x14ac:dyDescent="0.3">
      <c r="B13" s="3">
        <v>120038</v>
      </c>
      <c r="C13" s="4" t="s">
        <v>18</v>
      </c>
      <c r="D13" s="3">
        <v>91</v>
      </c>
      <c r="E13" s="3">
        <v>95</v>
      </c>
      <c r="F13" s="3">
        <v>90</v>
      </c>
      <c r="G13" s="5">
        <f t="shared" si="0"/>
        <v>91.97</v>
      </c>
      <c r="H13" s="3" t="str">
        <f t="shared" si="1"/>
        <v>A</v>
      </c>
      <c r="I13" s="5"/>
    </row>
    <row r="14" spans="2:9" x14ac:dyDescent="0.3">
      <c r="B14" s="3">
        <v>120039</v>
      </c>
      <c r="C14" s="4" t="s">
        <v>19</v>
      </c>
      <c r="D14" s="3">
        <v>76</v>
      </c>
      <c r="E14" s="3">
        <v>81</v>
      </c>
      <c r="F14" s="3">
        <v>75</v>
      </c>
      <c r="G14" s="5">
        <f t="shared" si="0"/>
        <v>77.3</v>
      </c>
      <c r="H14" s="3" t="str">
        <f t="shared" si="1"/>
        <v>AB</v>
      </c>
      <c r="I14" s="5"/>
    </row>
    <row r="15" spans="2:9" x14ac:dyDescent="0.3">
      <c r="B15" s="3">
        <v>120046</v>
      </c>
      <c r="C15" s="4" t="s">
        <v>20</v>
      </c>
      <c r="D15" s="3">
        <v>89</v>
      </c>
      <c r="E15" s="3">
        <v>93</v>
      </c>
      <c r="F15" s="3">
        <v>88</v>
      </c>
      <c r="G15" s="5">
        <f t="shared" si="0"/>
        <v>89.97</v>
      </c>
      <c r="H15" s="3" t="str">
        <f t="shared" si="1"/>
        <v>A</v>
      </c>
      <c r="I15" s="5"/>
    </row>
    <row r="16" spans="2:9" x14ac:dyDescent="0.3">
      <c r="B16" s="3">
        <v>120047</v>
      </c>
      <c r="C16" s="4" t="s">
        <v>21</v>
      </c>
      <c r="D16" s="3">
        <v>80</v>
      </c>
      <c r="E16" s="3">
        <v>85</v>
      </c>
      <c r="F16" s="3">
        <v>79</v>
      </c>
      <c r="G16" s="5">
        <f t="shared" si="0"/>
        <v>81.300000000000011</v>
      </c>
      <c r="H16" s="3" t="str">
        <f t="shared" si="1"/>
        <v>A</v>
      </c>
      <c r="I16" s="5"/>
    </row>
    <row r="17" spans="2:9" x14ac:dyDescent="0.3">
      <c r="B17" s="3">
        <v>120049</v>
      </c>
      <c r="C17" s="4" t="s">
        <v>22</v>
      </c>
      <c r="D17" s="3">
        <v>94</v>
      </c>
      <c r="E17" s="3">
        <v>90</v>
      </c>
      <c r="F17" s="3">
        <v>95</v>
      </c>
      <c r="G17" s="5">
        <f t="shared" si="0"/>
        <v>93.03</v>
      </c>
      <c r="H17" s="3" t="str">
        <f t="shared" si="1"/>
        <v>A</v>
      </c>
      <c r="I17" s="5"/>
    </row>
    <row r="18" spans="2:9" x14ac:dyDescent="0.3">
      <c r="B18" s="3">
        <v>120054</v>
      </c>
      <c r="C18" s="4" t="s">
        <v>23</v>
      </c>
      <c r="D18" s="3">
        <v>77</v>
      </c>
      <c r="E18" s="3">
        <v>82</v>
      </c>
      <c r="F18" s="3">
        <v>76</v>
      </c>
      <c r="G18" s="5">
        <f t="shared" si="0"/>
        <v>78.3</v>
      </c>
      <c r="H18" s="3" t="str">
        <f t="shared" si="1"/>
        <v>AB</v>
      </c>
      <c r="I18" s="5"/>
    </row>
    <row r="19" spans="2:9" x14ac:dyDescent="0.3">
      <c r="B19" s="3">
        <v>120060</v>
      </c>
      <c r="C19" s="4" t="s">
        <v>24</v>
      </c>
      <c r="D19" s="3">
        <v>86</v>
      </c>
      <c r="E19" s="3">
        <v>89</v>
      </c>
      <c r="F19" s="3">
        <v>84</v>
      </c>
      <c r="G19" s="5">
        <f t="shared" si="0"/>
        <v>86.289999999999992</v>
      </c>
      <c r="H19" s="3" t="str">
        <f t="shared" si="1"/>
        <v>A</v>
      </c>
      <c r="I19" s="5"/>
    </row>
    <row r="20" spans="2:9" x14ac:dyDescent="0.3">
      <c r="B20" s="3">
        <v>120063</v>
      </c>
      <c r="C20" s="4" t="s">
        <v>25</v>
      </c>
      <c r="D20" s="3">
        <v>92</v>
      </c>
      <c r="E20" s="3">
        <v>88</v>
      </c>
      <c r="F20" s="3">
        <v>93</v>
      </c>
      <c r="G20" s="5">
        <f t="shared" si="0"/>
        <v>91.03</v>
      </c>
      <c r="H20" s="3" t="str">
        <f t="shared" si="1"/>
        <v>A</v>
      </c>
      <c r="I20" s="5"/>
    </row>
    <row r="21" spans="2:9" x14ac:dyDescent="0.3">
      <c r="B21" s="3">
        <v>120070</v>
      </c>
      <c r="C21" s="4" t="s">
        <v>26</v>
      </c>
      <c r="D21" s="3">
        <v>78</v>
      </c>
      <c r="E21" s="3">
        <v>83</v>
      </c>
      <c r="F21" s="3">
        <v>77</v>
      </c>
      <c r="G21" s="5">
        <f t="shared" si="0"/>
        <v>79.3</v>
      </c>
      <c r="H21" s="3" t="str">
        <f t="shared" si="1"/>
        <v>AB</v>
      </c>
      <c r="I21" s="5"/>
    </row>
    <row r="22" spans="2:9" x14ac:dyDescent="0.3">
      <c r="B22" s="3">
        <v>120071</v>
      </c>
      <c r="C22" s="4" t="s">
        <v>27</v>
      </c>
      <c r="D22" s="3">
        <v>41</v>
      </c>
      <c r="E22" s="3">
        <v>53</v>
      </c>
      <c r="F22" s="3">
        <v>44</v>
      </c>
      <c r="G22" s="5">
        <f t="shared" si="0"/>
        <v>46.010000000000005</v>
      </c>
      <c r="H22" s="3" t="str">
        <f t="shared" si="1"/>
        <v>D</v>
      </c>
      <c r="I22" s="5"/>
    </row>
    <row r="23" spans="2:9" x14ac:dyDescent="0.3">
      <c r="B23" s="3">
        <v>120073</v>
      </c>
      <c r="C23" s="4" t="s">
        <v>28</v>
      </c>
      <c r="D23" s="3">
        <v>68</v>
      </c>
      <c r="E23" s="3">
        <v>49</v>
      </c>
      <c r="F23" s="3">
        <v>54</v>
      </c>
      <c r="G23" s="5">
        <f t="shared" si="0"/>
        <v>56.830000000000005</v>
      </c>
      <c r="H23" s="3" t="str">
        <f t="shared" si="1"/>
        <v>C</v>
      </c>
      <c r="I23" s="5"/>
    </row>
    <row r="24" spans="2:9" x14ac:dyDescent="0.3">
      <c r="B24" s="3">
        <v>120082</v>
      </c>
      <c r="C24" s="4" t="s">
        <v>29</v>
      </c>
      <c r="D24" s="3">
        <v>81</v>
      </c>
      <c r="E24" s="3">
        <v>87</v>
      </c>
      <c r="F24" s="3">
        <v>80</v>
      </c>
      <c r="G24" s="5">
        <f t="shared" si="0"/>
        <v>82.63</v>
      </c>
      <c r="H24" s="3" t="str">
        <f t="shared" si="1"/>
        <v>A</v>
      </c>
      <c r="I24" s="5"/>
    </row>
    <row r="25" spans="2:9" x14ac:dyDescent="0.3">
      <c r="B25" s="3">
        <v>120083</v>
      </c>
      <c r="C25" s="4" t="s">
        <v>30</v>
      </c>
      <c r="D25" s="3">
        <v>87</v>
      </c>
      <c r="E25" s="3">
        <v>90</v>
      </c>
      <c r="F25" s="3">
        <v>85</v>
      </c>
      <c r="G25" s="5">
        <f t="shared" si="0"/>
        <v>87.29</v>
      </c>
      <c r="H25" s="3" t="str">
        <f t="shared" si="1"/>
        <v>A</v>
      </c>
      <c r="I25" s="5"/>
    </row>
    <row r="26" spans="2:9" x14ac:dyDescent="0.3">
      <c r="B26" s="3">
        <v>120088</v>
      </c>
      <c r="C26" s="4" t="s">
        <v>31</v>
      </c>
      <c r="D26" s="3">
        <v>79</v>
      </c>
      <c r="E26" s="3">
        <v>84</v>
      </c>
      <c r="F26" s="3">
        <v>78</v>
      </c>
      <c r="G26" s="5">
        <f t="shared" si="0"/>
        <v>80.3</v>
      </c>
      <c r="H26" s="3" t="str">
        <f t="shared" si="1"/>
        <v>AB</v>
      </c>
      <c r="I26" s="5"/>
    </row>
    <row r="27" spans="2:9" x14ac:dyDescent="0.3">
      <c r="B27" s="3">
        <v>120090</v>
      </c>
      <c r="C27" s="4" t="s">
        <v>32</v>
      </c>
      <c r="D27" s="3">
        <v>70</v>
      </c>
      <c r="E27" s="3">
        <v>77</v>
      </c>
      <c r="F27" s="3">
        <v>64</v>
      </c>
      <c r="G27" s="5">
        <f t="shared" si="0"/>
        <v>70.210000000000008</v>
      </c>
      <c r="H27" s="3" t="str">
        <f t="shared" si="1"/>
        <v>B</v>
      </c>
      <c r="I27" s="5"/>
    </row>
    <row r="28" spans="2:9" x14ac:dyDescent="0.3">
      <c r="B28" s="3">
        <v>120093</v>
      </c>
      <c r="C28" s="4" t="s">
        <v>33</v>
      </c>
      <c r="D28" s="3">
        <v>67</v>
      </c>
      <c r="E28" s="3">
        <v>54</v>
      </c>
      <c r="F28" s="3">
        <v>54</v>
      </c>
      <c r="G28" s="5">
        <f t="shared" si="0"/>
        <v>58.160000000000004</v>
      </c>
      <c r="H28" s="3" t="str">
        <f t="shared" si="1"/>
        <v>C</v>
      </c>
      <c r="I28" s="5"/>
    </row>
    <row r="29" spans="2:9" x14ac:dyDescent="0.3">
      <c r="B29" s="3">
        <v>120095</v>
      </c>
      <c r="C29" s="4" t="s">
        <v>34</v>
      </c>
      <c r="D29" s="3">
        <v>69</v>
      </c>
      <c r="E29" s="3">
        <v>62</v>
      </c>
      <c r="F29" s="3">
        <v>71</v>
      </c>
      <c r="G29" s="5">
        <f t="shared" si="0"/>
        <v>67.39</v>
      </c>
      <c r="H29" s="3" t="str">
        <f t="shared" si="1"/>
        <v>B</v>
      </c>
      <c r="I29" s="5"/>
    </row>
    <row r="30" spans="2:9" x14ac:dyDescent="0.3">
      <c r="B30" s="3">
        <v>120098</v>
      </c>
      <c r="C30" s="4" t="s">
        <v>35</v>
      </c>
      <c r="D30" s="3">
        <v>76</v>
      </c>
      <c r="E30" s="3">
        <v>81</v>
      </c>
      <c r="F30" s="3">
        <v>75</v>
      </c>
      <c r="G30" s="5">
        <f t="shared" si="0"/>
        <v>77.3</v>
      </c>
      <c r="H30" s="3" t="str">
        <f t="shared" si="1"/>
        <v>AB</v>
      </c>
      <c r="I30" s="5"/>
    </row>
    <row r="31" spans="2:9" x14ac:dyDescent="0.3">
      <c r="B31" s="3">
        <v>120099</v>
      </c>
      <c r="C31" s="4" t="s">
        <v>36</v>
      </c>
      <c r="D31" s="3">
        <v>60</v>
      </c>
      <c r="E31" s="3">
        <v>65</v>
      </c>
      <c r="F31" s="3">
        <v>64</v>
      </c>
      <c r="G31" s="5">
        <f t="shared" si="0"/>
        <v>63.05</v>
      </c>
      <c r="H31" s="3" t="str">
        <f t="shared" si="1"/>
        <v>BC</v>
      </c>
      <c r="I31" s="5"/>
    </row>
    <row r="35" spans="2:7" x14ac:dyDescent="0.3">
      <c r="B35" s="16"/>
      <c r="C35" s="16"/>
      <c r="D35" s="16"/>
      <c r="F35" s="6" t="s">
        <v>44</v>
      </c>
      <c r="G35" s="6" t="s">
        <v>5</v>
      </c>
    </row>
    <row r="36" spans="2:7" x14ac:dyDescent="0.3">
      <c r="B36" s="16"/>
      <c r="C36" s="17"/>
      <c r="D36" s="17"/>
      <c r="F36" s="12" t="s">
        <v>45</v>
      </c>
      <c r="G36" s="14">
        <f>ROUND(AVERAGE($G$2:$G$31),2)</f>
        <v>76.22</v>
      </c>
    </row>
    <row r="37" spans="2:7" x14ac:dyDescent="0.3">
      <c r="B37" s="6" t="s">
        <v>6</v>
      </c>
      <c r="C37" s="6" t="s">
        <v>56</v>
      </c>
      <c r="D37" s="6" t="s">
        <v>57</v>
      </c>
      <c r="F37" s="13" t="s">
        <v>46</v>
      </c>
      <c r="G37" s="9">
        <f>ROUND(STDEV($G$2:$G$31)/SQRT(COUNT($G$2:$G$31)),2)</f>
        <v>2.46</v>
      </c>
    </row>
    <row r="38" spans="2:7" x14ac:dyDescent="0.3">
      <c r="B38" s="7" t="s">
        <v>37</v>
      </c>
      <c r="C38" s="8">
        <f t="shared" ref="C38:C43" si="2">COUNTIF($H$2:$H$31,B38)</f>
        <v>12</v>
      </c>
      <c r="D38" s="8">
        <f t="shared" ref="D38:D43" si="3">IFERROR(ROUND(AVERAGEIF($H$2:$H$31,B38,$G$2:$G$31),2),0)</f>
        <v>88.42</v>
      </c>
      <c r="F38" s="12" t="s">
        <v>47</v>
      </c>
      <c r="G38" s="14">
        <f>ROUND(MEDIAN($G$2:$G$31),2)</f>
        <v>78.8</v>
      </c>
    </row>
    <row r="39" spans="2:7" x14ac:dyDescent="0.3">
      <c r="B39" s="9" t="s">
        <v>38</v>
      </c>
      <c r="C39" s="10">
        <f t="shared" si="2"/>
        <v>7</v>
      </c>
      <c r="D39" s="10">
        <f t="shared" si="3"/>
        <v>78.59</v>
      </c>
      <c r="F39" s="13" t="s">
        <v>48</v>
      </c>
      <c r="G39" s="9">
        <f>IFERROR(ROUND(MODE($G$2:$G$31),2),"n/a")</f>
        <v>80.3</v>
      </c>
    </row>
    <row r="40" spans="2:7" x14ac:dyDescent="0.3">
      <c r="B40" s="7" t="s">
        <v>39</v>
      </c>
      <c r="C40" s="8">
        <f t="shared" si="2"/>
        <v>4</v>
      </c>
      <c r="D40" s="8">
        <f t="shared" si="3"/>
        <v>71.239999999999995</v>
      </c>
      <c r="F40" s="12" t="s">
        <v>49</v>
      </c>
      <c r="G40" s="7">
        <f>ROUND(STDEV($G$2:$G$31),2)</f>
        <v>13.47</v>
      </c>
    </row>
    <row r="41" spans="2:7" x14ac:dyDescent="0.3">
      <c r="B41" s="9" t="s">
        <v>40</v>
      </c>
      <c r="C41" s="10">
        <f t="shared" si="2"/>
        <v>1</v>
      </c>
      <c r="D41" s="10">
        <f t="shared" si="3"/>
        <v>63.05</v>
      </c>
      <c r="F41" s="13" t="s">
        <v>50</v>
      </c>
      <c r="G41" s="9">
        <f>ROUND(VAR($G$2:$G$31),2)</f>
        <v>181.35</v>
      </c>
    </row>
    <row r="42" spans="2:7" x14ac:dyDescent="0.3">
      <c r="B42" s="7" t="s">
        <v>41</v>
      </c>
      <c r="C42" s="8">
        <f t="shared" si="2"/>
        <v>5</v>
      </c>
      <c r="D42" s="8">
        <f t="shared" si="3"/>
        <v>56.29</v>
      </c>
      <c r="F42" s="12" t="s">
        <v>51</v>
      </c>
      <c r="G42" s="14">
        <f>MAX($G$2:$G$31)-MIN($G$2:$G$31)</f>
        <v>48.019999999999996</v>
      </c>
    </row>
    <row r="43" spans="2:7" x14ac:dyDescent="0.3">
      <c r="B43" s="9" t="s">
        <v>42</v>
      </c>
      <c r="C43" s="10">
        <f t="shared" si="2"/>
        <v>1</v>
      </c>
      <c r="D43" s="10">
        <f t="shared" si="3"/>
        <v>46.01</v>
      </c>
      <c r="F43" s="13" t="s">
        <v>52</v>
      </c>
      <c r="G43" s="15">
        <f>MIN($G$2:$G$31)</f>
        <v>46.010000000000005</v>
      </c>
    </row>
    <row r="44" spans="2:7" x14ac:dyDescent="0.3">
      <c r="B44" s="11" t="s">
        <v>43</v>
      </c>
      <c r="C44" s="11">
        <f>SUM(C38:C43)</f>
        <v>30</v>
      </c>
      <c r="D44" s="11">
        <f>ROUND(AVERAGE($G$2:$G$31),2)</f>
        <v>76.22</v>
      </c>
      <c r="F44" s="12" t="s">
        <v>53</v>
      </c>
      <c r="G44" s="14">
        <f>MAX($G$2:$G$31)</f>
        <v>94.03</v>
      </c>
    </row>
    <row r="45" spans="2:7" x14ac:dyDescent="0.3">
      <c r="F45" s="13" t="s">
        <v>54</v>
      </c>
      <c r="G45" s="9">
        <f>SUM($G$2:$G$31)</f>
        <v>2286.64</v>
      </c>
    </row>
    <row r="46" spans="2:7" x14ac:dyDescent="0.3">
      <c r="F46" s="12" t="s">
        <v>55</v>
      </c>
      <c r="G46" s="7">
        <f>COUNT($G$2:$G$31)</f>
        <v>30</v>
      </c>
    </row>
    <row r="50" spans="5:7" x14ac:dyDescent="0.3">
      <c r="E50" s="16"/>
      <c r="F50" s="16"/>
      <c r="G50" s="16"/>
    </row>
    <row r="51" spans="5:7" x14ac:dyDescent="0.3">
      <c r="E51" s="16"/>
      <c r="F51" s="17"/>
      <c r="G51" s="17"/>
    </row>
    <row r="52" spans="5:7" x14ac:dyDescent="0.3">
      <c r="E52" s="16"/>
      <c r="F52" s="17"/>
      <c r="G52" s="17"/>
    </row>
    <row r="53" spans="5:7" x14ac:dyDescent="0.3">
      <c r="E53" s="16"/>
      <c r="F53" s="17"/>
      <c r="G53" s="17"/>
    </row>
    <row r="54" spans="5:7" x14ac:dyDescent="0.3">
      <c r="E54" s="16"/>
      <c r="F54" s="17"/>
      <c r="G54" s="17"/>
    </row>
    <row r="55" spans="5:7" x14ac:dyDescent="0.3">
      <c r="E55" s="16"/>
      <c r="F55" s="17"/>
      <c r="G55" s="17"/>
    </row>
    <row r="56" spans="5:7" x14ac:dyDescent="0.3">
      <c r="E56" s="16"/>
      <c r="F56" s="17"/>
      <c r="G56" s="17"/>
    </row>
    <row r="57" spans="5:7" x14ac:dyDescent="0.3">
      <c r="E57" s="16"/>
      <c r="F57" s="16"/>
      <c r="G57" s="1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 Elviyenti</dc:creator>
  <cp:lastModifiedBy>ACER .</cp:lastModifiedBy>
  <dcterms:created xsi:type="dcterms:W3CDTF">2026-09-15T00:47:47Z</dcterms:created>
  <dcterms:modified xsi:type="dcterms:W3CDTF">2026-09-28T06:52:51Z</dcterms:modified>
</cp:coreProperties>
</file>